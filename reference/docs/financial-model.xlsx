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Waterfall" sheetId="2" state="visible" r:id="rId2"/>
    <sheet xmlns:r="http://schemas.openxmlformats.org/officeDocument/2006/relationships" name="UnitEconomics" sheetId="3" state="visible" r:id="rId3"/>
    <sheet xmlns:r="http://schemas.openxmlformats.org/officeDocument/2006/relationships" name="BreakEve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T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€&quot;#,##0;(&quot;€&quot;#,##0);&quot;-&quot;"/>
    <numFmt numFmtId="165" formatCode="0.0%"/>
    <numFmt numFmtId="166" formatCode="&quot;€&quot;#,##0.00"/>
    <numFmt numFmtId="167" formatCode="&quot;€&quot;#,##0.0000"/>
    <numFmt numFmtId="168" formatCode="&quot;₪&quot;#,##0.000"/>
  </numFmts>
  <fonts count="13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6B7280"/>
      <sz val="9"/>
    </font>
    <font>
      <name val="Arial"/>
      <b val="1"/>
      <color rgb="006B7280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6B7280"/>
      <sz val="10"/>
    </font>
    <font>
      <name val="Arial"/>
      <color rgb="000000FF"/>
      <sz val="10"/>
    </font>
    <font>
      <name val="Arial"/>
      <color rgb="006B7280"/>
      <sz val="9"/>
    </font>
    <font>
      <name val="Arial"/>
      <color rgb="00008000"/>
      <sz val="10"/>
    </font>
    <font>
      <name val="Arial"/>
      <b val="1"/>
      <color rgb="00008000"/>
      <sz val="10"/>
    </font>
    <font>
      <name val="Arial"/>
      <i val="1"/>
      <color rgb="00E53E3E"/>
      <sz val="9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164" fontId="7" fillId="3" borderId="0" pivotButton="0" quotePrefix="0" xfId="0"/>
    <xf numFmtId="164" fontId="5" fillId="0" borderId="0" pivotButton="0" quotePrefix="0" xfId="0"/>
    <xf numFmtId="165" fontId="7" fillId="3" borderId="0" pivotButton="0" quotePrefix="0" xfId="0"/>
    <xf numFmtId="166" fontId="5" fillId="0" borderId="0" pivotButton="0" quotePrefix="0" xfId="0"/>
    <xf numFmtId="165" fontId="7" fillId="0" borderId="0" pivotButton="0" quotePrefix="0" xfId="0"/>
    <xf numFmtId="165" fontId="5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2" fontId="7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9" fillId="0" borderId="0" pivotButton="0" quotePrefix="0" xfId="0"/>
    <xf numFmtId="165" fontId="10" fillId="0" borderId="0" pivotButton="0" quotePrefix="0" xfId="0"/>
    <xf numFmtId="164" fontId="9" fillId="0" borderId="0" pivotButton="0" quotePrefix="0" xfId="0"/>
    <xf numFmtId="165" fontId="4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11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164" fontId="10" fillId="0" borderId="0" pivotButton="0" quotePrefix="0" xfId="0"/>
    <xf numFmtId="165" fontId="1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4" customWidth="1" min="3" max="3"/>
    <col width="13" customWidth="1" min="4" max="4"/>
    <col width="16" customWidth="1" min="5" max="5"/>
    <col width="7" customWidth="1" min="6" max="6"/>
    <col width="44" customWidth="1" min="7" max="7"/>
  </cols>
  <sheetData>
    <row r="1">
      <c r="A1" s="1" t="inlineStr">
        <is>
          <t>RealShare — Financial Model</t>
        </is>
      </c>
    </row>
    <row r="2">
      <c r="A2" s="2" t="inlineStr">
        <is>
          <t>Blue = editable input · Yellow = market data (verify w/ broker) · Black = calculated · Green = link to another sheet.</t>
        </is>
      </c>
    </row>
    <row r="3">
      <c r="A3" s="3" t="inlineStr">
        <is>
          <t>Parameter</t>
        </is>
      </c>
      <c r="B3" s="3" t="inlineStr">
        <is>
          <t>Sym</t>
        </is>
      </c>
      <c r="C3" s="3" t="inlineStr">
        <is>
          <t>Value</t>
        </is>
      </c>
      <c r="D3" s="3" t="inlineStr">
        <is>
          <t>Unit</t>
        </is>
      </c>
      <c r="E3" s="3" t="inlineStr">
        <is>
          <t>Range</t>
        </is>
      </c>
      <c r="F3" s="3" t="inlineStr">
        <is>
          <t>Conf.</t>
        </is>
      </c>
      <c r="G3" s="3" t="inlineStr">
        <is>
          <t>Source / Note</t>
        </is>
      </c>
    </row>
    <row r="4">
      <c r="A4" s="4" t="inlineStr">
        <is>
          <t>PROPERTY</t>
        </is>
      </c>
    </row>
    <row r="5">
      <c r="A5" s="5" t="inlineStr">
        <is>
          <t>Apartment size</t>
        </is>
      </c>
      <c r="B5" s="6" t="inlineStr">
        <is>
          <t>m²</t>
        </is>
      </c>
      <c r="C5" s="7" t="n">
        <v>50</v>
      </c>
      <c r="D5" s="8" t="inlineStr">
        <is>
          <t>m²</t>
        </is>
      </c>
      <c r="E5" s="8" t="inlineStr">
        <is>
          <t>38–70</t>
        </is>
      </c>
      <c r="F5" s="8" t="inlineStr">
        <is>
          <t>Med</t>
        </is>
      </c>
      <c r="G5" s="8" t="inlineStr">
        <is>
          <t>inner-district 1–2BR</t>
        </is>
      </c>
    </row>
    <row r="6">
      <c r="A6" s="5" t="inlineStr">
        <is>
          <t>Price per m²</t>
        </is>
      </c>
      <c r="B6" s="6" t="inlineStr"/>
      <c r="C6" s="9" t="n">
        <v>3000</v>
      </c>
      <c r="D6" s="8" t="inlineStr">
        <is>
          <t>EUR/m²</t>
        </is>
      </c>
      <c r="E6" s="8" t="inlineStr">
        <is>
          <t>2,400–4,200</t>
        </is>
      </c>
      <c r="F6" s="8" t="inlineStr">
        <is>
          <t>Med</t>
        </is>
      </c>
      <c r="G6" s="8" t="inlineStr">
        <is>
          <t>districts V/VI/VII/IX/XIII — verify (M1)</t>
        </is>
      </c>
    </row>
    <row r="7">
      <c r="A7" s="5" t="inlineStr">
        <is>
          <t>Property price</t>
        </is>
      </c>
      <c r="B7" s="6" t="inlineStr">
        <is>
          <t>P</t>
        </is>
      </c>
      <c r="C7" s="10">
        <f>C5*C6</f>
        <v/>
      </c>
      <c r="D7" s="8" t="inlineStr">
        <is>
          <t>EUR</t>
        </is>
      </c>
      <c r="E7" s="8" t="inlineStr">
        <is>
          <t>108k–236k</t>
        </is>
      </c>
      <c r="F7" s="8" t="inlineStr">
        <is>
          <t>—</t>
        </is>
      </c>
      <c r="G7" s="8">
        <f> size × €/m²</f>
        <v/>
      </c>
    </row>
    <row r="8">
      <c r="A8" s="5" t="inlineStr">
        <is>
          <t>Gross rental yield</t>
        </is>
      </c>
      <c r="B8" s="6" t="inlineStr">
        <is>
          <t>y_g</t>
        </is>
      </c>
      <c r="C8" s="11" t="n">
        <v>0.05</v>
      </c>
      <c r="D8" s="8" t="inlineStr">
        <is>
          <t>% value/yr</t>
        </is>
      </c>
      <c r="E8" s="8" t="inlineStr">
        <is>
          <t>4.0–6.5%</t>
        </is>
      </c>
      <c r="F8" s="8" t="inlineStr">
        <is>
          <t>Med</t>
        </is>
      </c>
      <c r="G8" s="8" t="inlineStr">
        <is>
          <t>verify (M2)</t>
        </is>
      </c>
    </row>
    <row r="9">
      <c r="A9" s="5" t="inlineStr">
        <is>
          <t>Gross annual rent</t>
        </is>
      </c>
      <c r="B9" s="6" t="inlineStr">
        <is>
          <t>R_g</t>
        </is>
      </c>
      <c r="C9" s="10">
        <f>C7*C8</f>
        <v/>
      </c>
      <c r="D9" s="8" t="inlineStr">
        <is>
          <t>EUR/yr</t>
        </is>
      </c>
      <c r="E9" s="8" t="inlineStr"/>
      <c r="F9" s="8" t="inlineStr">
        <is>
          <t>—</t>
        </is>
      </c>
      <c r="G9" s="8">
        <f> P × y_g</f>
        <v/>
      </c>
    </row>
    <row r="10">
      <c r="A10" s="5" t="inlineStr">
        <is>
          <t>Tokens per property</t>
        </is>
      </c>
      <c r="B10" s="6" t="inlineStr">
        <is>
          <t>N</t>
        </is>
      </c>
      <c r="C10" s="7" t="n">
        <v>2000</v>
      </c>
      <c r="D10" s="8" t="inlineStr">
        <is>
          <t>tokens</t>
        </is>
      </c>
      <c r="E10" s="8" t="inlineStr"/>
      <c r="F10" s="8" t="inlineStr">
        <is>
          <t>TBD</t>
        </is>
      </c>
      <c r="G10" s="8" t="inlineStr">
        <is>
          <t>design choice</t>
        </is>
      </c>
    </row>
    <row r="11">
      <c r="A11" s="5" t="inlineStr">
        <is>
          <t>Token price</t>
        </is>
      </c>
      <c r="B11" s="6" t="inlineStr">
        <is>
          <t>p_t</t>
        </is>
      </c>
      <c r="C11" s="12">
        <f>C7/C10</f>
        <v/>
      </c>
      <c r="D11" s="8" t="inlineStr">
        <is>
          <t>EUR/token</t>
        </is>
      </c>
      <c r="E11" s="8" t="inlineStr"/>
      <c r="F11" s="8" t="inlineStr">
        <is>
          <t>—</t>
        </is>
      </c>
      <c r="G11" s="8">
        <f> P / N</f>
        <v/>
      </c>
    </row>
    <row r="13">
      <c r="A13" s="4" t="inlineStr">
        <is>
          <t>DEDUCTIONS — % of gross rent</t>
        </is>
      </c>
    </row>
    <row r="14">
      <c r="A14" s="5" t="inlineStr">
        <is>
          <t>PM company fee</t>
        </is>
      </c>
      <c r="B14" s="6" t="inlineStr">
        <is>
          <t>d_pm</t>
        </is>
      </c>
      <c r="C14" s="11" t="n">
        <v>0.1</v>
      </c>
      <c r="D14" s="8" t="inlineStr">
        <is>
          <t>% rent</t>
        </is>
      </c>
      <c r="E14" s="8" t="inlineStr">
        <is>
          <t>8–15%</t>
        </is>
      </c>
      <c r="F14" s="8" t="inlineStr">
        <is>
          <t>Med</t>
        </is>
      </c>
      <c r="G14" s="8" t="inlineStr">
        <is>
          <t>verify (M3)</t>
        </is>
      </c>
    </row>
    <row r="15">
      <c r="A15" s="5" t="inlineStr">
        <is>
          <t>Letting / turnover (amortized)</t>
        </is>
      </c>
      <c r="B15" s="6" t="inlineStr"/>
      <c r="C15" s="13" t="n">
        <v>0.04</v>
      </c>
      <c r="D15" s="8" t="inlineStr">
        <is>
          <t>% rent</t>
        </is>
      </c>
      <c r="E15" s="8" t="inlineStr">
        <is>
          <t>~4%</t>
        </is>
      </c>
      <c r="F15" s="8" t="inlineStr">
        <is>
          <t>Med</t>
        </is>
      </c>
      <c r="G15" s="8" t="inlineStr">
        <is>
          <t>~½ month rent / yr</t>
        </is>
      </c>
    </row>
    <row r="16">
      <c r="A16" s="5" t="inlineStr">
        <is>
          <t>Maintenance + reserve</t>
        </is>
      </c>
      <c r="B16" s="6" t="inlineStr">
        <is>
          <t>d_mr</t>
        </is>
      </c>
      <c r="C16" s="11" t="n">
        <v>0.05</v>
      </c>
      <c r="D16" s="8" t="inlineStr">
        <is>
          <t>% rent</t>
        </is>
      </c>
      <c r="E16" s="8" t="inlineStr">
        <is>
          <t>5%+</t>
        </is>
      </c>
      <c r="F16" s="8" t="inlineStr">
        <is>
          <t>Med</t>
        </is>
      </c>
      <c r="G16" s="8" t="inlineStr">
        <is>
          <t>capex on old stock — verify</t>
        </is>
      </c>
    </row>
    <row r="17">
      <c r="A17" s="5" t="inlineStr">
        <is>
          <t>Vacancy</t>
        </is>
      </c>
      <c r="B17" s="6" t="inlineStr">
        <is>
          <t>v</t>
        </is>
      </c>
      <c r="C17" s="11" t="n">
        <v>0.05</v>
      </c>
      <c r="D17" s="8" t="inlineStr">
        <is>
          <t>% rent</t>
        </is>
      </c>
      <c r="E17" s="8" t="inlineStr">
        <is>
          <t>3–10%</t>
        </is>
      </c>
      <c r="F17" s="8" t="inlineStr">
        <is>
          <t>Med</t>
        </is>
      </c>
      <c r="G17" s="8" t="inlineStr">
        <is>
          <t>verify (M4)</t>
        </is>
      </c>
    </row>
    <row r="18">
      <c r="A18" s="5" t="inlineStr">
        <is>
          <t>RealShare mgmt skim</t>
        </is>
      </c>
      <c r="B18" s="6" t="inlineStr">
        <is>
          <t>f_m</t>
        </is>
      </c>
      <c r="C18" s="13" t="n">
        <v>0.07000000000000001</v>
      </c>
      <c r="D18" s="8" t="inlineStr">
        <is>
          <t>% rent</t>
        </is>
      </c>
      <c r="E18" s="8" t="inlineStr">
        <is>
          <t>3–12%</t>
        </is>
      </c>
      <c r="F18" s="8" t="inlineStr">
        <is>
          <t>TBD</t>
        </is>
      </c>
      <c r="G18" s="8" t="inlineStr">
        <is>
          <t>RealShare lever (DEC-08)</t>
        </is>
      </c>
    </row>
    <row r="19">
      <c r="A19" s="5" t="inlineStr">
        <is>
          <t>Subtotal — % deductions</t>
        </is>
      </c>
      <c r="B19" s="6" t="inlineStr"/>
      <c r="C19" s="14">
        <f>SUM(C14:C18)</f>
        <v/>
      </c>
      <c r="D19" s="8" t="inlineStr">
        <is>
          <t>% rent</t>
        </is>
      </c>
      <c r="E19" s="8" t="inlineStr"/>
      <c r="F19" s="8" t="inlineStr">
        <is>
          <t>—</t>
        </is>
      </c>
      <c r="G19" s="8" t="inlineStr"/>
    </row>
    <row r="21">
      <c r="A21" s="4" t="inlineStr">
        <is>
          <t>DEDUCTIONS — fixed €/yr</t>
        </is>
      </c>
    </row>
    <row r="22">
      <c r="A22" s="5" t="inlineStr">
        <is>
          <t>Property tax (municipal)</t>
        </is>
      </c>
      <c r="B22" s="6" t="inlineStr"/>
      <c r="C22" s="15" t="n">
        <v>0</v>
      </c>
      <c r="D22" s="8" t="inlineStr">
        <is>
          <t>EUR/yr</t>
        </is>
      </c>
      <c r="E22" s="8" t="inlineStr">
        <is>
          <t>0–139</t>
        </is>
      </c>
      <c r="F22" s="8" t="inlineStr">
        <is>
          <t>High</t>
        </is>
      </c>
      <c r="G22" s="8" t="inlineStr">
        <is>
          <t>inner residential usually EXEMT</t>
        </is>
      </c>
    </row>
    <row r="23">
      <c r="A23" s="5" t="inlineStr">
        <is>
          <t>Common charge (közös költség)</t>
        </is>
      </c>
      <c r="B23" s="6" t="inlineStr"/>
      <c r="C23" s="9" t="n">
        <v>600</v>
      </c>
      <c r="D23" s="8" t="inlineStr">
        <is>
          <t>EUR/yr</t>
        </is>
      </c>
      <c r="E23" s="8" t="inlineStr">
        <is>
          <t>300–1,500</t>
        </is>
      </c>
      <c r="F23" s="8" t="inlineStr">
        <is>
          <t>Med</t>
        </is>
      </c>
      <c r="G23" s="8" t="inlineStr">
        <is>
          <t>building service charge — verify per bldg</t>
        </is>
      </c>
    </row>
    <row r="24">
      <c r="A24" s="5" t="inlineStr">
        <is>
          <t>Insurance</t>
        </is>
      </c>
      <c r="B24" s="6" t="inlineStr"/>
      <c r="C24" s="9" t="n">
        <v>200</v>
      </c>
      <c r="D24" s="8" t="inlineStr">
        <is>
          <t>EUR/yr</t>
        </is>
      </c>
      <c r="E24" s="8" t="inlineStr">
        <is>
          <t>120–400</t>
        </is>
      </c>
      <c r="F24" s="8" t="inlineStr">
        <is>
          <t>Med</t>
        </is>
      </c>
      <c r="G24" s="8" t="inlineStr">
        <is>
          <t>landlord cover — verify</t>
        </is>
      </c>
    </row>
    <row r="25">
      <c r="A25" s="5" t="inlineStr">
        <is>
          <t>Subtotal — fixed €/yr</t>
        </is>
      </c>
      <c r="B25" s="6" t="inlineStr"/>
      <c r="C25" s="10">
        <f>SUM(C22:C24)</f>
        <v/>
      </c>
      <c r="D25" s="8" t="inlineStr">
        <is>
          <t>EUR/yr</t>
        </is>
      </c>
      <c r="E25" s="8" t="inlineStr"/>
      <c r="F25" s="8" t="inlineStr">
        <is>
          <t>—</t>
        </is>
      </c>
      <c r="G25" s="8" t="inlineStr"/>
    </row>
    <row r="27">
      <c r="A27" s="4" t="inlineStr">
        <is>
          <t>CORPORATE TAX (if held in a Hungarian Kft.)</t>
        </is>
      </c>
    </row>
    <row r="28">
      <c r="A28" s="5" t="inlineStr">
        <is>
          <t>Hungarian CIT rate</t>
        </is>
      </c>
      <c r="B28" s="6" t="inlineStr"/>
      <c r="C28" s="13" t="n">
        <v>0.09</v>
      </c>
      <c r="D28" s="8" t="inlineStr">
        <is>
          <t>% net profit</t>
        </is>
      </c>
      <c r="E28" s="8" t="inlineStr">
        <is>
          <t>9%</t>
        </is>
      </c>
      <c r="F28" s="8" t="inlineStr">
        <is>
          <t>High</t>
        </is>
      </c>
      <c r="G28" s="8" t="inlineStr">
        <is>
          <t>lowest in EU</t>
        </is>
      </c>
    </row>
    <row r="30">
      <c r="A30" s="4" t="inlineStr">
        <is>
          <t>PLATFORM FEES &amp; TURNOVER</t>
        </is>
      </c>
    </row>
    <row r="31">
      <c r="A31" s="5" t="inlineStr">
        <is>
          <t>Primary txn fee</t>
        </is>
      </c>
      <c r="B31" s="6" t="inlineStr">
        <is>
          <t>f_p</t>
        </is>
      </c>
      <c r="C31" s="13" t="n">
        <v>0.02</v>
      </c>
      <c r="D31" s="8" t="inlineStr">
        <is>
          <t>% of raise</t>
        </is>
      </c>
      <c r="E31" s="8" t="inlineStr">
        <is>
          <t>1–3%</t>
        </is>
      </c>
      <c r="F31" s="8" t="inlineStr">
        <is>
          <t>TBD</t>
        </is>
      </c>
      <c r="G31" s="8" t="inlineStr">
        <is>
          <t>RealShare lever (DEC-08)</t>
        </is>
      </c>
    </row>
    <row r="32">
      <c r="A32" s="5" t="inlineStr">
        <is>
          <t>Secondary txn fee</t>
        </is>
      </c>
      <c r="B32" s="6" t="inlineStr">
        <is>
          <t>f_s</t>
        </is>
      </c>
      <c r="C32" s="13" t="n">
        <v>0.02</v>
      </c>
      <c r="D32" s="8" t="inlineStr">
        <is>
          <t>% per trade</t>
        </is>
      </c>
      <c r="E32" s="8" t="inlineStr">
        <is>
          <t>1–3%</t>
        </is>
      </c>
      <c r="F32" s="8" t="inlineStr">
        <is>
          <t>TBD</t>
        </is>
      </c>
      <c r="G32" s="8" t="inlineStr">
        <is>
          <t>lever (DEC-08)</t>
        </is>
      </c>
    </row>
    <row r="33">
      <c r="A33" s="5" t="inlineStr">
        <is>
          <t>Annual secondary turnover</t>
        </is>
      </c>
      <c r="B33" s="6" t="inlineStr">
        <is>
          <t>τ</t>
        </is>
      </c>
      <c r="C33" s="13" t="n">
        <v>0.2</v>
      </c>
      <c r="D33" s="8" t="inlineStr">
        <is>
          <t>% value/yr</t>
        </is>
      </c>
      <c r="E33" s="8" t="inlineStr">
        <is>
          <t>5–50%</t>
        </is>
      </c>
      <c r="F33" s="8" t="inlineStr">
        <is>
          <t>Low</t>
        </is>
      </c>
      <c r="G33" s="8" t="inlineStr">
        <is>
          <t>speculative</t>
        </is>
      </c>
    </row>
    <row r="35">
      <c r="A35" s="4" t="inlineStr">
        <is>
          <t>DEAL / COSTS</t>
        </is>
      </c>
    </row>
    <row r="36">
      <c r="A36" s="5" t="inlineStr">
        <is>
          <t>Acquisition costs</t>
        </is>
      </c>
      <c r="B36" s="6" t="inlineStr"/>
      <c r="C36" s="13" t="n">
        <v>0.06</v>
      </c>
      <c r="D36" s="8" t="inlineStr">
        <is>
          <t>% of price</t>
        </is>
      </c>
      <c r="E36" s="8" t="inlineStr">
        <is>
          <t>6% resale / 10.5% new</t>
        </is>
      </c>
      <c r="F36" s="8" t="inlineStr">
        <is>
          <t>High</t>
        </is>
      </c>
      <c r="G36" s="8" t="inlineStr">
        <is>
          <t>transfer duty 4% + notary/legal — capitalized into raise</t>
        </is>
      </c>
    </row>
    <row r="37">
      <c r="A37" s="5" t="inlineStr">
        <is>
          <t>Onboarding / property</t>
        </is>
      </c>
      <c r="B37" s="6" t="inlineStr">
        <is>
          <t>C_on</t>
        </is>
      </c>
      <c r="C37" s="9" t="n">
        <v>2500</v>
      </c>
      <c r="D37" s="8" t="inlineStr">
        <is>
          <t>EUR one-time</t>
        </is>
      </c>
      <c r="E37" s="8" t="inlineStr">
        <is>
          <t>appraisal+Kft+listing</t>
        </is>
      </c>
      <c r="F37" s="8" t="inlineStr">
        <is>
          <t>Med</t>
        </is>
      </c>
      <c r="G37" s="8" t="inlineStr">
        <is>
          <t>Kft setup ~€1k + appraisal — verify (L6)</t>
        </is>
      </c>
    </row>
    <row r="38">
      <c r="A38" s="5" t="inlineStr">
        <is>
          <t>Capitalize onboarding into raise?</t>
        </is>
      </c>
      <c r="B38" s="6" t="inlineStr"/>
      <c r="C38" s="16" t="n">
        <v>0</v>
      </c>
      <c r="D38" s="8" t="inlineStr">
        <is>
          <t>1=yes, 0=no</t>
        </is>
      </c>
      <c r="E38" s="8" t="inlineStr"/>
      <c r="F38" s="8" t="inlineStr">
        <is>
          <t>—</t>
        </is>
      </c>
      <c r="G38" s="8" t="inlineStr">
        <is>
          <t>lever (I-03): 1 removes C_on from RealShare P&amp;L</t>
        </is>
      </c>
    </row>
    <row r="39">
      <c r="A39" s="5" t="inlineStr">
        <is>
          <t>Oversight / property / yr</t>
        </is>
      </c>
      <c r="B39" s="6" t="inlineStr">
        <is>
          <t>C_ov</t>
        </is>
      </c>
      <c r="C39" s="15" t="n">
        <v>1200</v>
      </c>
      <c r="D39" s="8" t="inlineStr">
        <is>
          <t>EUR/yr</t>
        </is>
      </c>
      <c r="E39" s="8" t="inlineStr">
        <is>
          <t>incl. Kft acct ~€600</t>
        </is>
      </c>
      <c r="F39" s="8" t="inlineStr">
        <is>
          <t>Med</t>
        </is>
      </c>
      <c r="G39" s="8" t="inlineStr">
        <is>
          <t>ongoing investor-side admin</t>
        </is>
      </c>
    </row>
    <row r="40">
      <c r="A40" s="5" t="inlineStr">
        <is>
          <t>Annual fixed-cost base</t>
        </is>
      </c>
      <c r="B40" s="6" t="inlineStr">
        <is>
          <t>F</t>
        </is>
      </c>
      <c r="C40" s="15" t="n">
        <v>500000</v>
      </c>
      <c r="D40" s="8" t="inlineStr">
        <is>
          <t>EUR/yr</t>
        </is>
      </c>
      <c r="E40" s="8" t="inlineStr">
        <is>
          <t>300k–750k</t>
        </is>
      </c>
      <c r="F40" s="8" t="inlineStr">
        <is>
          <t>Low</t>
        </is>
      </c>
      <c r="G40" s="8" t="inlineStr">
        <is>
          <t>infra+dev+compliance+mktg+support</t>
        </is>
      </c>
    </row>
    <row r="42">
      <c r="A42" s="4" t="inlineStr">
        <is>
          <t>FX</t>
        </is>
      </c>
    </row>
    <row r="43">
      <c r="A43" s="5" t="inlineStr">
        <is>
          <t>EUR → ILS</t>
        </is>
      </c>
      <c r="B43" s="6" t="inlineStr"/>
      <c r="C43" s="17" t="n">
        <v>3.95</v>
      </c>
      <c r="D43" s="8" t="inlineStr">
        <is>
          <t>₪ per €</t>
        </is>
      </c>
      <c r="E43" s="8" t="inlineStr">
        <is>
          <t>3.7–4.2</t>
        </is>
      </c>
      <c r="F43" s="8" t="inlineStr">
        <is>
          <t>Low</t>
        </is>
      </c>
      <c r="G43" s="8" t="inlineStr">
        <is>
          <t>volatile — use live rate</t>
        </is>
      </c>
    </row>
    <row r="44">
      <c r="A44" s="5" t="inlineStr">
        <is>
          <t>HUF → EUR (context)</t>
        </is>
      </c>
      <c r="B44" s="6" t="inlineStr"/>
      <c r="C44" s="7" t="n">
        <v>395</v>
      </c>
      <c r="D44" s="8" t="inlineStr">
        <is>
          <t>HUF per €</t>
        </is>
      </c>
      <c r="E44" s="8" t="inlineStr">
        <is>
          <t>380–415</t>
        </is>
      </c>
      <c r="F44" s="8" t="inlineStr">
        <is>
          <t>Med</t>
        </is>
      </c>
      <c r="G44" s="8" t="inlineStr">
        <is>
          <t>rent collected in HUF</t>
        </is>
      </c>
    </row>
    <row r="46">
      <c r="A46" s="4" t="inlineStr">
        <is>
          <t>PREMIUM (optional, light)</t>
        </is>
      </c>
    </row>
    <row r="47">
      <c r="A47" s="5" t="inlineStr">
        <is>
          <t>Premium sub price</t>
        </is>
      </c>
      <c r="B47" s="6" t="inlineStr">
        <is>
          <t>s</t>
        </is>
      </c>
      <c r="C47" s="15" t="n">
        <v>8</v>
      </c>
      <c r="D47" s="8" t="inlineStr">
        <is>
          <t>EUR/mo</t>
        </is>
      </c>
      <c r="E47" s="8" t="inlineStr">
        <is>
          <t>5–15</t>
        </is>
      </c>
      <c r="F47" s="8" t="inlineStr">
        <is>
          <t>Low</t>
        </is>
      </c>
      <c r="G47" s="8" t="inlineStr">
        <is>
          <t>SaaS tier</t>
        </is>
      </c>
    </row>
    <row r="48">
      <c r="A48" s="5" t="inlineStr">
        <is>
          <t># subscribers</t>
        </is>
      </c>
      <c r="B48" s="6" t="inlineStr"/>
      <c r="C48" s="7" t="n">
        <v>1000</v>
      </c>
      <c r="D48" s="8" t="inlineStr">
        <is>
          <t>subs</t>
        </is>
      </c>
      <c r="E48" s="8" t="inlineStr"/>
      <c r="F48" s="8" t="inlineStr">
        <is>
          <t>Low</t>
        </is>
      </c>
      <c r="G48" s="8" t="inlineStr">
        <is>
          <t>demand-dependent</t>
        </is>
      </c>
    </row>
    <row r="49">
      <c r="A49" s="5" t="inlineStr">
        <is>
          <t>Premium revenue / yr</t>
        </is>
      </c>
      <c r="B49" s="6" t="inlineStr"/>
      <c r="C49" s="10">
        <f>C47*12*C48</f>
        <v/>
      </c>
      <c r="D49" s="8" t="inlineStr">
        <is>
          <t>EUR/yr</t>
        </is>
      </c>
      <c r="E49" s="8" t="inlineStr"/>
      <c r="F49" s="8" t="inlineStr">
        <is>
          <t>—</t>
        </is>
      </c>
      <c r="G49" s="8">
        <f> price × 12 × subs</f>
        <v/>
      </c>
    </row>
    <row r="51">
      <c r="A51" s="4" t="inlineStr">
        <is>
          <t>SHORT-TERM RENTAL (Airbnb) — full-cost scenario (DEC-09)</t>
        </is>
      </c>
    </row>
    <row r="52">
      <c r="A52" s="5" t="inlineStr">
        <is>
          <t>ADR (avg nightly rate)</t>
        </is>
      </c>
      <c r="B52" s="6" t="inlineStr"/>
      <c r="C52" s="9" t="n">
        <v>80</v>
      </c>
      <c r="D52" s="8" t="inlineStr">
        <is>
          <t>EUR/night</t>
        </is>
      </c>
      <c r="E52" s="8" t="inlineStr">
        <is>
          <t>58–135</t>
        </is>
      </c>
      <c r="F52" s="8" t="inlineStr">
        <is>
          <t>Med</t>
        </is>
      </c>
      <c r="G52" s="8" t="inlineStr">
        <is>
          <t>green-zone (XIII) blended — VERIFY (AirDNA)</t>
        </is>
      </c>
    </row>
    <row r="53">
      <c r="A53" s="5" t="inlineStr">
        <is>
          <t>Occupancy</t>
        </is>
      </c>
      <c r="B53" s="6" t="inlineStr"/>
      <c r="C53" s="11" t="n">
        <v>0.66</v>
      </c>
      <c r="D53" s="8" t="inlineStr">
        <is>
          <t>% of nights</t>
        </is>
      </c>
      <c r="E53" s="8" t="inlineStr">
        <is>
          <t>60–75%</t>
        </is>
      </c>
      <c r="F53" s="8" t="inlineStr">
        <is>
          <t>Med</t>
        </is>
      </c>
      <c r="G53" s="8" t="inlineStr">
        <is>
          <t>blended w/ seasonality — VERIFY</t>
        </is>
      </c>
    </row>
    <row r="54">
      <c r="A54" s="5" t="inlineStr">
        <is>
          <t>STR gross annual</t>
        </is>
      </c>
      <c r="B54" s="6" t="inlineStr"/>
      <c r="C54" s="10">
        <f>C52*365*C53</f>
        <v/>
      </c>
      <c r="D54" s="8" t="inlineStr">
        <is>
          <t>EUR/yr</t>
        </is>
      </c>
      <c r="E54" s="8" t="inlineStr"/>
      <c r="F54" s="8" t="inlineStr">
        <is>
          <t>—</t>
        </is>
      </c>
      <c r="G54" s="8">
        <f> ADR × 365 × occ</f>
        <v/>
      </c>
    </row>
    <row r="55">
      <c r="A55" s="2" t="inlineStr">
        <is>
          <t xml:space="preserve">  % of STR revenue:</t>
        </is>
      </c>
      <c r="B55" s="6" t="n"/>
      <c r="C55" s="11" t="n"/>
      <c r="D55" s="8" t="n"/>
      <c r="E55" s="8" t="n"/>
      <c r="F55" s="8" t="n"/>
      <c r="G55" s="8" t="n"/>
    </row>
    <row r="56">
      <c r="A56" s="5" t="inlineStr">
        <is>
          <t>Platform/channel fee</t>
        </is>
      </c>
      <c r="B56" s="6" t="inlineStr"/>
      <c r="C56" s="13" t="n">
        <v>0.09</v>
      </c>
      <c r="D56" s="8" t="inlineStr">
        <is>
          <t>% rev</t>
        </is>
      </c>
      <c r="E56" s="8" t="inlineStr">
        <is>
          <t>8–12%</t>
        </is>
      </c>
      <c r="F56" s="8" t="inlineStr">
        <is>
          <t>Med</t>
        </is>
      </c>
      <c r="G56" s="8" t="inlineStr">
        <is>
          <t>Airbnb 3% + Booking 15% blended</t>
        </is>
      </c>
    </row>
    <row r="57">
      <c r="A57" s="5" t="inlineStr">
        <is>
          <t>Tourism tax (IFA)</t>
        </is>
      </c>
      <c r="B57" s="6" t="inlineStr"/>
      <c r="C57" s="13" t="n">
        <v>0.04</v>
      </c>
      <c r="D57" s="8" t="inlineStr">
        <is>
          <t>% rev</t>
        </is>
      </c>
      <c r="E57" s="8" t="inlineStr">
        <is>
          <t>4%</t>
        </is>
      </c>
      <c r="F57" s="8" t="inlineStr">
        <is>
          <t>High</t>
        </is>
      </c>
      <c r="G57" s="8" t="inlineStr">
        <is>
          <t>Budapest; often guest-paid pass-through</t>
        </is>
      </c>
    </row>
    <row r="58">
      <c r="A58" s="5" t="inlineStr">
        <is>
          <t>STR management fee (service co, incl. cleaning)</t>
        </is>
      </c>
      <c r="B58" s="6" t="inlineStr"/>
      <c r="C58" s="30" t="n">
        <v>0.2</v>
      </c>
      <c r="D58" s="8" t="inlineStr">
        <is>
          <t>% rev</t>
        </is>
      </c>
      <c r="E58" s="8" t="inlineStr">
        <is>
          <t>22–28%</t>
        </is>
      </c>
      <c r="F58" s="8" t="inlineStr">
        <is>
          <t>Med</t>
        </is>
      </c>
      <c r="G58" s="8" t="inlineStr">
        <is>
          <t>third-party service company, incl. cleaning — VERIFY</t>
        </is>
      </c>
    </row>
    <row r="59">
      <c r="A59" s="2" t="inlineStr">
        <is>
          <t xml:space="preserve">  (RealShare skim f_m applies on top — see C18)</t>
        </is>
      </c>
      <c r="B59" s="6" t="n"/>
      <c r="C59" s="15" t="n"/>
      <c r="D59" s="8" t="n"/>
      <c r="E59" s="8" t="n"/>
      <c r="F59" s="8" t="n"/>
      <c r="G59" s="8" t="n"/>
    </row>
    <row r="60">
      <c r="A60" s="2" t="inlineStr">
        <is>
          <t xml:space="preserve">  fixed €/yr:</t>
        </is>
      </c>
      <c r="B60" s="6" t="n"/>
      <c r="C60" s="15" t="n"/>
      <c r="D60" s="8" t="n"/>
      <c r="E60" s="8" t="n"/>
      <c r="F60" s="8" t="n"/>
      <c r="G60" s="8" t="n"/>
    </row>
    <row r="61">
      <c r="A61" s="5" t="inlineStr">
        <is>
          <t>Utilities + internet (commercial)</t>
        </is>
      </c>
      <c r="B61" s="6" t="inlineStr"/>
      <c r="C61" s="9" t="n">
        <v>1600</v>
      </c>
      <c r="D61" s="8" t="inlineStr">
        <is>
          <t>EUR/yr</t>
        </is>
      </c>
      <c r="E61" s="8" t="inlineStr">
        <is>
          <t>1,300–2,300</t>
        </is>
      </c>
      <c r="F61" s="8" t="inlineStr">
        <is>
          <t>Med</t>
        </is>
      </c>
      <c r="G61" s="8" t="inlineStr">
        <is>
          <t>commercial tariff</t>
        </is>
      </c>
    </row>
    <row r="62">
      <c r="A62" s="5" t="inlineStr">
        <is>
          <t>Furnishing (amortized)</t>
        </is>
      </c>
      <c r="B62" s="6" t="inlineStr"/>
      <c r="C62" s="9" t="n">
        <v>2000</v>
      </c>
      <c r="D62" s="8" t="inlineStr">
        <is>
          <t>EUR/yr</t>
        </is>
      </c>
      <c r="E62" s="8" t="inlineStr">
        <is>
          <t>€8–22k / 5–7yr</t>
        </is>
      </c>
      <c r="F62" s="8" t="inlineStr">
        <is>
          <t>Med</t>
        </is>
      </c>
      <c r="G62" s="8" t="inlineStr">
        <is>
          <t>full furnish</t>
        </is>
      </c>
    </row>
    <row r="63">
      <c r="A63" s="5" t="inlineStr">
        <is>
          <t>STR insurance</t>
        </is>
      </c>
      <c r="B63" s="6" t="inlineStr"/>
      <c r="C63" s="15" t="n">
        <v>600</v>
      </c>
      <c r="D63" s="8" t="inlineStr">
        <is>
          <t>EUR/yr</t>
        </is>
      </c>
      <c r="E63" s="8" t="inlineStr">
        <is>
          <t>400–800</t>
        </is>
      </c>
      <c r="F63" s="8" t="inlineStr">
        <is>
          <t>Med</t>
        </is>
      </c>
      <c r="G63" s="8" t="inlineStr">
        <is>
          <t>~2× residential</t>
        </is>
      </c>
    </row>
    <row r="64">
      <c r="A64" s="5" t="inlineStr">
        <is>
          <t>Maintenance / wear</t>
        </is>
      </c>
      <c r="B64" s="6" t="inlineStr"/>
      <c r="C64" s="15" t="n">
        <v>2000</v>
      </c>
      <c r="D64" s="8" t="inlineStr">
        <is>
          <t>EUR/yr</t>
        </is>
      </c>
      <c r="E64" s="8" t="inlineStr">
        <is>
          <t>1,500–3,500</t>
        </is>
      </c>
      <c r="F64" s="8" t="inlineStr">
        <is>
          <t>Med</t>
        </is>
      </c>
      <c r="G64" s="8" t="inlineStr">
        <is>
          <t>2–3× LT wear</t>
        </is>
      </c>
    </row>
    <row r="65">
      <c r="A65" s="5" t="inlineStr">
        <is>
          <t>Building tax uplift (commercial)</t>
        </is>
      </c>
      <c r="B65" s="6" t="inlineStr"/>
      <c r="C65" s="15" t="n">
        <v>400</v>
      </c>
      <c r="D65" s="8" t="inlineStr">
        <is>
          <t>EUR/yr</t>
        </is>
      </c>
      <c r="E65" s="8" t="inlineStr">
        <is>
          <t>0–900</t>
        </is>
      </c>
      <c r="F65" s="8" t="inlineStr">
        <is>
          <t>Med</t>
        </is>
      </c>
      <c r="G65" s="8" t="inlineStr">
        <is>
          <t>STR may trigger commercial rate</t>
        </is>
      </c>
    </row>
    <row r="66">
      <c r="A66" s="5" t="inlineStr">
        <is>
          <t>STR oversight / property / yr</t>
        </is>
      </c>
      <c r="B66" s="6" t="inlineStr"/>
      <c r="C66" s="15" t="n">
        <v>1500</v>
      </c>
      <c r="D66" s="8" t="inlineStr">
        <is>
          <t>EUR/yr</t>
        </is>
      </c>
      <c r="E66" s="8" t="inlineStr">
        <is>
          <t>1,200–2,500</t>
        </is>
      </c>
      <c r="F66" s="8" t="inlineStr">
        <is>
          <t>Low</t>
        </is>
      </c>
      <c r="G66" s="8" t="inlineStr">
        <is>
          <t>RealShare side</t>
        </is>
      </c>
    </row>
    <row r="67">
      <c r="A67" s="5" t="n"/>
      <c r="B67" s="6" t="n"/>
      <c r="C67" s="15" t="n"/>
      <c r="D67" s="8" t="n"/>
      <c r="E67" s="8" t="n"/>
      <c r="F67" s="8" t="n"/>
      <c r="G67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8" customWidth="1" min="4" max="4"/>
    <col width="30" customWidth="1" min="5" max="5"/>
  </cols>
  <sheetData>
    <row r="1">
      <c r="A1" s="1" t="inlineStr">
        <is>
          <t>Per-Property Rental Waterfall</t>
        </is>
      </c>
    </row>
    <row r="2">
      <c r="A2" s="2" t="inlineStr">
        <is>
          <t>Blue = editable input · Yellow = market data (verify w/ broker) · Black = calculated · Green = link to another sheet.</t>
        </is>
      </c>
    </row>
    <row r="3">
      <c r="A3" s="18" t="inlineStr">
        <is>
          <t>Gross annual rent (R_g)</t>
        </is>
      </c>
      <c r="C3" s="19">
        <f>Assumptions!C9</f>
        <v/>
      </c>
      <c r="D3" s="8" t="inlineStr">
        <is>
          <t>EUR/yr</t>
        </is>
      </c>
      <c r="E3" s="8">
        <f> P × y_g</f>
        <v/>
      </c>
    </row>
    <row r="4">
      <c r="A4" s="3" t="inlineStr">
        <is>
          <t>% deduction</t>
        </is>
      </c>
      <c r="B4" s="3" t="inlineStr">
        <is>
          <t>Rate</t>
        </is>
      </c>
      <c r="C4" s="3" t="inlineStr">
        <is>
          <t>Amount (EUR/yr)</t>
        </is>
      </c>
    </row>
    <row r="5">
      <c r="A5" s="5" t="inlineStr">
        <is>
          <t>PM company fee</t>
        </is>
      </c>
      <c r="B5" s="20">
        <f>Assumptions!C14</f>
        <v/>
      </c>
      <c r="C5" s="10">
        <f>$C$3*B5</f>
        <v/>
      </c>
    </row>
    <row r="6">
      <c r="A6" s="5" t="inlineStr">
        <is>
          <t>Letting/turnover</t>
        </is>
      </c>
      <c r="B6" s="20">
        <f>Assumptions!C15</f>
        <v/>
      </c>
      <c r="C6" s="10">
        <f>$C$3*B6</f>
        <v/>
      </c>
    </row>
    <row r="7">
      <c r="A7" s="5" t="inlineStr">
        <is>
          <t>Maintenance + reserve</t>
        </is>
      </c>
      <c r="B7" s="20">
        <f>Assumptions!C16</f>
        <v/>
      </c>
      <c r="C7" s="10">
        <f>$C$3*B7</f>
        <v/>
      </c>
    </row>
    <row r="8">
      <c r="A8" s="5" t="inlineStr">
        <is>
          <t>Vacancy</t>
        </is>
      </c>
      <c r="B8" s="20">
        <f>Assumptions!C17</f>
        <v/>
      </c>
      <c r="C8" s="10">
        <f>$C$3*B8</f>
        <v/>
      </c>
    </row>
    <row r="9">
      <c r="A9" s="5" t="inlineStr">
        <is>
          <t>RealShare skim</t>
        </is>
      </c>
      <c r="B9" s="20">
        <f>Assumptions!C18</f>
        <v/>
      </c>
      <c r="C9" s="10">
        <f>$C$3*B9</f>
        <v/>
      </c>
    </row>
    <row r="10">
      <c r="A10" s="18" t="inlineStr">
        <is>
          <t>Subtotal % deductions</t>
        </is>
      </c>
      <c r="B10" s="21">
        <f>SUM(B5:B9)</f>
        <v/>
      </c>
      <c r="C10" s="19">
        <f>SUM(C5:C9)</f>
        <v/>
      </c>
    </row>
    <row r="12">
      <c r="A12" s="3" t="inlineStr">
        <is>
          <t>Fixed costs (€/yr)</t>
        </is>
      </c>
    </row>
    <row r="13">
      <c r="A13" s="5" t="inlineStr">
        <is>
          <t>Property tax</t>
        </is>
      </c>
      <c r="C13" s="22">
        <f>Assumptions!C22</f>
        <v/>
      </c>
    </row>
    <row r="14">
      <c r="A14" s="5" t="inlineStr">
        <is>
          <t>Common charge (közös költség)</t>
        </is>
      </c>
      <c r="C14" s="22">
        <f>Assumptions!C23</f>
        <v/>
      </c>
    </row>
    <row r="15">
      <c r="A15" s="5" t="inlineStr">
        <is>
          <t>Insurance</t>
        </is>
      </c>
      <c r="C15" s="22">
        <f>Assumptions!C24</f>
        <v/>
      </c>
    </row>
    <row r="16">
      <c r="A16" s="18" t="inlineStr">
        <is>
          <t>Subtotal fixed costs</t>
        </is>
      </c>
      <c r="C16" s="19">
        <f>SUM(C13:C15)</f>
        <v/>
      </c>
    </row>
    <row r="18">
      <c r="A18" s="18" t="inlineStr">
        <is>
          <t>Net operating income (pre-CIT)</t>
        </is>
      </c>
      <c r="C18" s="19">
        <f>C3-C10-C16</f>
        <v/>
      </c>
      <c r="E18" s="8">
        <f> R_g − %ded − fixed</f>
        <v/>
      </c>
    </row>
    <row r="19">
      <c r="A19" s="5" t="inlineStr">
        <is>
          <t>Corporate tax (CIT)</t>
        </is>
      </c>
      <c r="C19" s="10">
        <f>Assumptions!C28*MAX(C18,0)</f>
        <v/>
      </c>
      <c r="E19" s="8" t="inlineStr">
        <is>
          <t>9% of net profit</t>
        </is>
      </c>
    </row>
    <row r="20">
      <c r="A20" s="18" t="inlineStr">
        <is>
          <t>NET distributable to holders</t>
        </is>
      </c>
      <c r="C20" s="19">
        <f>C18-C19</f>
        <v/>
      </c>
    </row>
    <row r="21">
      <c r="A21" s="5" t="inlineStr">
        <is>
          <t>Monthly distributable</t>
        </is>
      </c>
      <c r="C21" s="10">
        <f>C20/12</f>
        <v/>
      </c>
    </row>
    <row r="22">
      <c r="A22" s="18" t="inlineStr">
        <is>
          <t>Effective NET yield (after CIT)</t>
        </is>
      </c>
      <c r="C22" s="23">
        <f>C20/Assumptions!C7</f>
        <v/>
      </c>
      <c r="E22" s="8">
        <f> net / P</f>
        <v/>
      </c>
    </row>
    <row r="23">
      <c r="A23" s="5" t="inlineStr">
        <is>
          <t>Monthly payout / token (EUR)</t>
        </is>
      </c>
      <c r="C23" s="24">
        <f>C21/Assumptions!C10</f>
        <v/>
      </c>
    </row>
    <row r="24">
      <c r="A24" s="5" t="inlineStr">
        <is>
          <t>Annual payout / token (EUR)</t>
        </is>
      </c>
      <c r="C24" s="24">
        <f>C20/Assumptions!C10</f>
        <v/>
      </c>
    </row>
    <row r="25">
      <c r="A25" s="5" t="inlineStr">
        <is>
          <t>Monthly payout / token (ILS)</t>
        </is>
      </c>
      <c r="C25" s="25">
        <f>C23*Assumptions!C43</f>
        <v/>
      </c>
      <c r="E25" s="8">
        <f> EUR/token × FX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16" customWidth="1" min="3" max="3"/>
    <col width="4" customWidth="1" min="4" max="4"/>
    <col width="34" customWidth="1" min="5" max="5"/>
  </cols>
  <sheetData>
    <row r="1">
      <c r="A1" s="1" t="inlineStr">
        <is>
          <t>Platform Unit Economics (per funded property)</t>
        </is>
      </c>
    </row>
    <row r="2">
      <c r="A2" s="2" t="inlineStr">
        <is>
          <t>Blue = editable input · Yellow = market data (verify w/ broker) · Black = calculated · Green = link to another sheet.</t>
        </is>
      </c>
    </row>
    <row r="3">
      <c r="A3" s="5" t="inlineStr">
        <is>
          <t>Property price (P)</t>
        </is>
      </c>
      <c r="C3" s="22">
        <f>Assumptions!C7</f>
        <v/>
      </c>
    </row>
    <row r="4">
      <c r="A4" s="5" t="inlineStr">
        <is>
          <t>Gross annual rent (R_g)</t>
        </is>
      </c>
      <c r="C4" s="22">
        <f>Waterfall!C3</f>
        <v/>
      </c>
    </row>
    <row r="6">
      <c r="A6" s="4" t="inlineStr">
        <is>
          <t>DEAL / RAISE</t>
        </is>
      </c>
    </row>
    <row r="7">
      <c r="A7" s="5" t="inlineStr">
        <is>
          <t>Acquisition costs</t>
        </is>
      </c>
      <c r="C7" s="10">
        <f>Assumptions!C7*Assumptions!C36</f>
        <v/>
      </c>
      <c r="E7" s="8">
        <f> P × acq% (capitalized into raise)</f>
        <v/>
      </c>
    </row>
    <row r="8">
      <c r="A8" s="5" t="inlineStr">
        <is>
          <t>Capitalized onboarding</t>
        </is>
      </c>
      <c r="C8" s="10">
        <f>Assumptions!C37*Assumptions!C38</f>
        <v/>
      </c>
      <c r="E8" s="8" t="inlineStr">
        <is>
          <t>if toggle = 1</t>
        </is>
      </c>
    </row>
    <row r="9">
      <c r="A9" s="18" t="inlineStr">
        <is>
          <t>Total raise</t>
        </is>
      </c>
      <c r="C9" s="19">
        <f>C3+C7+C8</f>
        <v/>
      </c>
      <c r="E9" s="8" t="inlineStr">
        <is>
          <t>what investors fund</t>
        </is>
      </c>
    </row>
    <row r="11">
      <c r="A11" s="4" t="inlineStr">
        <is>
          <t>REVENUE TO REALSHARE</t>
        </is>
      </c>
    </row>
    <row r="12">
      <c r="A12" s="5" t="inlineStr">
        <is>
          <t>Primary fee (one-time)</t>
        </is>
      </c>
      <c r="C12" s="10">
        <f>C9*Assumptions!C31</f>
        <v/>
      </c>
      <c r="E12" s="8">
        <f> raise × f_p</f>
        <v/>
      </c>
    </row>
    <row r="13">
      <c r="A13" s="5" t="inlineStr">
        <is>
          <t>Mgmt-fee revenue (/yr)</t>
        </is>
      </c>
      <c r="C13" s="10">
        <f>C4*Assumptions!C18</f>
        <v/>
      </c>
      <c r="E13" s="8">
        <f> R_g × f_m</f>
        <v/>
      </c>
    </row>
    <row r="14">
      <c r="A14" s="5" t="inlineStr">
        <is>
          <t>Secondary revenue (/yr)</t>
        </is>
      </c>
      <c r="C14" s="10">
        <f>C3*Assumptions!C33*Assumptions!C32</f>
        <v/>
      </c>
      <c r="E14" s="8">
        <f> P × τ × f_s</f>
        <v/>
      </c>
    </row>
    <row r="15">
      <c r="A15" s="18" t="inlineStr">
        <is>
          <t>Year-1 revenue</t>
        </is>
      </c>
      <c r="C15" s="19">
        <f>C12+C13+C14</f>
        <v/>
      </c>
    </row>
    <row r="16">
      <c r="A16" s="18" t="inlineStr">
        <is>
          <t>Steady-state revenue (/yr)</t>
        </is>
      </c>
      <c r="C16" s="19">
        <f>C13+C14</f>
        <v/>
      </c>
    </row>
    <row r="18">
      <c r="A18" s="4" t="inlineStr">
        <is>
          <t>COSTS TO REALSHARE</t>
        </is>
      </c>
    </row>
    <row r="19">
      <c r="A19" s="5" t="inlineStr">
        <is>
          <t>Onboarding (one-time)</t>
        </is>
      </c>
      <c r="C19" s="10">
        <f>Assumptions!C37*(1-Assumptions!C38)</f>
        <v/>
      </c>
      <c r="E19" s="8" t="inlineStr">
        <is>
          <t>removed if Capitalize=1</t>
        </is>
      </c>
    </row>
    <row r="20">
      <c r="A20" s="5" t="inlineStr">
        <is>
          <t>Oversight (/yr)</t>
        </is>
      </c>
      <c r="C20" s="10">
        <f>Assumptions!C39</f>
        <v/>
      </c>
    </row>
    <row r="22">
      <c r="A22" s="4" t="inlineStr">
        <is>
          <t>CONTRIBUTION MARGIN</t>
        </is>
      </c>
    </row>
    <row r="23">
      <c r="A23" s="18" t="inlineStr">
        <is>
          <t>Year-1 CM</t>
        </is>
      </c>
      <c r="C23" s="19">
        <f>C15-C19-C20</f>
        <v/>
      </c>
    </row>
    <row r="24">
      <c r="A24" s="18" t="inlineStr">
        <is>
          <t>Steady-state CM (/yr)</t>
        </is>
      </c>
      <c r="C24" s="19">
        <f>C16-C20</f>
        <v/>
      </c>
    </row>
    <row r="25">
      <c r="A25" s="26" t="inlineStr">
        <is>
          <t>(negative Year-1 CM = RealShare subsidizes onboarding; try Capitalize=1 or f_p=3%)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4" customWidth="1" min="4" max="4"/>
    <col width="30" customWidth="1" min="5" max="5"/>
  </cols>
  <sheetData>
    <row r="1">
      <c r="A1" s="1" t="inlineStr">
        <is>
          <t>Break-even &amp; Scaling</t>
        </is>
      </c>
    </row>
    <row r="2">
      <c r="A2" s="2" t="inlineStr">
        <is>
          <t>Blue = editable input · Yellow = market data (verify w/ broker) · Black = calculated · Green = link to another sheet.</t>
        </is>
      </c>
    </row>
    <row r="3">
      <c r="A3" s="5" t="inlineStr">
        <is>
          <t>Annual fixed-cost base (F)</t>
        </is>
      </c>
      <c r="C3" s="22">
        <f>Assumptions!C40</f>
        <v/>
      </c>
    </row>
    <row r="4">
      <c r="A4" s="5" t="inlineStr">
        <is>
          <t>Steady-state CM / property</t>
        </is>
      </c>
      <c r="C4" s="22">
        <f>UnitEconomics!C24</f>
        <v/>
      </c>
    </row>
    <row r="5">
      <c r="A5" s="18" t="inlineStr">
        <is>
          <t>Properties to break even (n*)</t>
        </is>
      </c>
      <c r="C5" s="27">
        <f>IF(C4&gt;0,C3/C4,"CM&lt;=0: never")</f>
        <v/>
      </c>
      <c r="E5" s="8">
        <f> F / CM_ss</f>
        <v/>
      </c>
    </row>
    <row r="6">
      <c r="A6" s="18" t="inlineStr">
        <is>
          <t>AUM at break-even (EUR)</t>
        </is>
      </c>
      <c r="C6" s="19">
        <f>IF(C4&gt;0,(C3/C4)*Assumptions!C7,"-")</f>
        <v/>
      </c>
    </row>
    <row r="8">
      <c r="A8" s="2" t="inlineStr">
        <is>
          <t>Properties to break even at different fixed-cost bases (current CM/property):</t>
        </is>
      </c>
    </row>
    <row r="9">
      <c r="A9" s="3" t="inlineStr">
        <is>
          <t>Fixed-cost base (EUR)</t>
        </is>
      </c>
      <c r="B9" s="3" t="inlineStr">
        <is>
          <t>n* (properties)</t>
        </is>
      </c>
    </row>
    <row r="10">
      <c r="A10" s="15" t="n">
        <v>300000</v>
      </c>
      <c r="B10" s="28">
        <f>IF($C$4&gt;0,A10/$C$4,"-")</f>
        <v/>
      </c>
    </row>
    <row r="11">
      <c r="A11" s="15" t="n">
        <v>500000</v>
      </c>
      <c r="B11" s="28">
        <f>IF($C$4&gt;0,A11/$C$4,"-")</f>
        <v/>
      </c>
    </row>
    <row r="12">
      <c r="A12" s="15" t="n">
        <v>750000</v>
      </c>
      <c r="B12" s="28">
        <f>IF($C$4&gt;0,A12/$C$4,"-")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Sensitivity</t>
        </is>
      </c>
    </row>
    <row r="2">
      <c r="A2" s="2" t="inlineStr">
        <is>
          <t>Blue = editable input · Yellow = market data (verify w/ broker) · Black = calculated · Green = link to another sheet.</t>
        </is>
      </c>
    </row>
    <row r="3">
      <c r="A3" s="4" t="inlineStr">
        <is>
          <t>Vacancy -&gt; NET yield</t>
        </is>
      </c>
    </row>
    <row r="4">
      <c r="A4" s="3" t="inlineStr">
        <is>
          <t>Vacancy</t>
        </is>
      </c>
      <c r="B4" s="3" t="inlineStr">
        <is>
          <t>Net yield</t>
        </is>
      </c>
    </row>
    <row r="5">
      <c r="A5" s="13" t="n">
        <v>0</v>
      </c>
      <c r="B5" s="14">
        <f>((Assumptions!C9*(1-((Assumptions!C14+Assumptions!C15+Assumptions!C16+Assumptions!C18)+A5)))-Assumptions!C25)*(1-Assumptions!C28)/Assumptions!C7</f>
        <v/>
      </c>
    </row>
    <row r="6">
      <c r="A6" s="13" t="n">
        <v>0.05</v>
      </c>
      <c r="B6" s="14">
        <f>((Assumptions!C9*(1-((Assumptions!C14+Assumptions!C15+Assumptions!C16+Assumptions!C18)+A6)))-Assumptions!C25)*(1-Assumptions!C28)/Assumptions!C7</f>
        <v/>
      </c>
    </row>
    <row r="7">
      <c r="A7" s="13" t="n">
        <v>0.1</v>
      </c>
      <c r="B7" s="14">
        <f>((Assumptions!C9*(1-((Assumptions!C14+Assumptions!C15+Assumptions!C16+Assumptions!C18)+A7)))-Assumptions!C25)*(1-Assumptions!C28)/Assumptions!C7</f>
        <v/>
      </c>
    </row>
    <row r="9">
      <c r="A9" s="4" t="inlineStr">
        <is>
          <t>Gross yield -&gt; NET yield</t>
        </is>
      </c>
    </row>
    <row r="10">
      <c r="A10" s="3" t="inlineStr">
        <is>
          <t>Gross yield</t>
        </is>
      </c>
      <c r="B10" s="3" t="inlineStr">
        <is>
          <t>Net yield</t>
        </is>
      </c>
    </row>
    <row r="11">
      <c r="A11" s="13" t="n">
        <v>0.04</v>
      </c>
      <c r="B11" s="14">
        <f>((Assumptions!C7*A11*(1-Assumptions!C19))-Assumptions!C25)*(1-Assumptions!C28)/Assumptions!C7</f>
        <v/>
      </c>
    </row>
    <row r="12">
      <c r="A12" s="13" t="n">
        <v>0.05</v>
      </c>
      <c r="B12" s="14">
        <f>((Assumptions!C7*A12*(1-Assumptions!C19))-Assumptions!C25)*(1-Assumptions!C28)/Assumptions!C7</f>
        <v/>
      </c>
    </row>
    <row r="13">
      <c r="A13" s="13" t="n">
        <v>0.065</v>
      </c>
      <c r="B13" s="14">
        <f>((Assumptions!C7*A13*(1-Assumptions!C19))-Assumptions!C25)*(1-Assumptions!C28)/Assumptions!C7</f>
        <v/>
      </c>
    </row>
    <row r="15">
      <c r="A15" s="4" t="inlineStr">
        <is>
          <t>Fee level -&gt; Year-1 revenue / property</t>
        </is>
      </c>
    </row>
    <row r="16">
      <c r="A16" s="3" t="inlineStr">
        <is>
          <t>Fee (f_p=f_s)</t>
        </is>
      </c>
      <c r="B16" s="3" t="inlineStr">
        <is>
          <t>Year-1 rev (EUR)</t>
        </is>
      </c>
    </row>
    <row r="17">
      <c r="A17" s="13" t="n">
        <v>0.01</v>
      </c>
      <c r="B17" s="10">
        <f>(Assumptions!C7*(1+Assumptions!C36))*A17+Assumptions!C9*Assumptions!C18+Assumptions!C7*Assumptions!C33*A17</f>
        <v/>
      </c>
    </row>
    <row r="18">
      <c r="A18" s="13" t="n">
        <v>0.02</v>
      </c>
      <c r="B18" s="10">
        <f>(Assumptions!C7*(1+Assumptions!C36))*A18+Assumptions!C9*Assumptions!C18+Assumptions!C7*Assumptions!C33*A18</f>
        <v/>
      </c>
    </row>
    <row r="19">
      <c r="A19" s="13" t="n">
        <v>0.03</v>
      </c>
      <c r="B19" s="10">
        <f>(Assumptions!C7*(1+Assumptions!C36))*A19+Assumptions!C9*Assumptions!C18+Assumptions!C7*Assumptions!C33*A19</f>
        <v/>
      </c>
    </row>
    <row r="21">
      <c r="A21" s="4" t="inlineStr">
        <is>
          <t>FX (EUR-&gt;ILS) -&gt; monthly ILS / token</t>
        </is>
      </c>
    </row>
    <row r="22">
      <c r="A22" s="3" t="inlineStr">
        <is>
          <t>EUR-&gt;ILS</t>
        </is>
      </c>
      <c r="B22" s="3" t="inlineStr">
        <is>
          <t>ILS / token / mo</t>
        </is>
      </c>
    </row>
    <row r="23">
      <c r="A23" s="17" t="n">
        <v>3.7</v>
      </c>
      <c r="B23" s="25">
        <f>Waterfall!C23*A23</f>
        <v/>
      </c>
    </row>
    <row r="24">
      <c r="A24" s="17" t="n">
        <v>3.95</v>
      </c>
      <c r="B24" s="25">
        <f>Waterfall!C23*A24</f>
        <v/>
      </c>
    </row>
    <row r="25">
      <c r="A25" s="17" t="n">
        <v>4.2</v>
      </c>
      <c r="B25" s="25">
        <f>Waterfall!C23*A25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4" customWidth="1" min="4" max="4"/>
    <col width="40" customWidth="1" min="5" max="5"/>
  </cols>
  <sheetData>
    <row r="1">
      <c r="A1" s="1" t="inlineStr">
        <is>
          <t>Short-Term Rental (Airbnb) — FULL-COST Scenario &amp; Comparison</t>
        </is>
      </c>
    </row>
    <row r="2">
      <c r="A2" s="26" t="inlineStr">
        <is>
          <t>Cleaning folded into mgmt fee. REQUIRES a licence — VI banned new, V/VII restricted; green zone ~District XIII (DEC-09 / Q:S1-S4).</t>
        </is>
      </c>
    </row>
    <row r="4">
      <c r="A4" s="4" t="inlineStr">
        <is>
          <t>STR PER-PROPERTY (annual)</t>
        </is>
      </c>
    </row>
    <row r="5">
      <c r="A5" s="18" t="inlineStr">
        <is>
          <t>STR gross revenue</t>
        </is>
      </c>
      <c r="C5" s="29">
        <f>Assumptions!C54</f>
        <v/>
      </c>
      <c r="E5" s="8">
        <f> ADR × 365 × occ</f>
        <v/>
      </c>
    </row>
    <row r="6">
      <c r="A6" s="3" t="inlineStr">
        <is>
          <t>% deduction</t>
        </is>
      </c>
      <c r="B6" s="3" t="inlineStr">
        <is>
          <t>Rate</t>
        </is>
      </c>
      <c r="C6" s="3" t="inlineStr">
        <is>
          <t>Amount (EUR/yr)</t>
        </is>
      </c>
    </row>
    <row r="7">
      <c r="A7" s="5" t="inlineStr">
        <is>
          <t>Platform/channel fee</t>
        </is>
      </c>
      <c r="B7" s="20">
        <f>Assumptions!C56</f>
        <v/>
      </c>
      <c r="C7" s="10">
        <f>$C$5*B7</f>
        <v/>
      </c>
    </row>
    <row r="8">
      <c r="A8" s="5" t="inlineStr">
        <is>
          <t>Tourism tax (IFA)</t>
        </is>
      </c>
      <c r="B8" s="20">
        <f>Assumptions!C57</f>
        <v/>
      </c>
      <c r="C8" s="10">
        <f>$C$5*B8</f>
        <v/>
      </c>
    </row>
    <row r="9">
      <c r="A9" s="5" t="inlineStr">
        <is>
          <t>Mgmt fee (incl. cleaning)</t>
        </is>
      </c>
      <c r="B9" s="20">
        <f>Assumptions!C58</f>
        <v/>
      </c>
      <c r="C9" s="10">
        <f>$C$5*B9</f>
        <v/>
      </c>
    </row>
    <row r="10">
      <c r="A10" s="5" t="inlineStr">
        <is>
          <t>RealShare skim</t>
        </is>
      </c>
      <c r="B10" s="20">
        <f>Assumptions!C18</f>
        <v/>
      </c>
      <c r="C10" s="10">
        <f>$C$5*B10</f>
        <v/>
      </c>
    </row>
    <row r="11">
      <c r="A11" s="18" t="inlineStr">
        <is>
          <t>Subtotal % deductions</t>
        </is>
      </c>
      <c r="B11" s="21">
        <f>SUM(B7:B10)</f>
        <v/>
      </c>
      <c r="C11" s="19">
        <f>SUM(C7:C10)</f>
        <v/>
      </c>
    </row>
    <row r="13">
      <c r="A13" s="3" t="inlineStr">
        <is>
          <t>Fixed costs (€/yr)</t>
        </is>
      </c>
    </row>
    <row r="14">
      <c r="A14" s="5" t="inlineStr">
        <is>
          <t>Utilities + internet</t>
        </is>
      </c>
      <c r="C14" s="22">
        <f>Assumptions!C61</f>
        <v/>
      </c>
    </row>
    <row r="15">
      <c r="A15" s="5" t="inlineStr">
        <is>
          <t>Furnishing (amortized)</t>
        </is>
      </c>
      <c r="C15" s="22">
        <f>Assumptions!C62</f>
        <v/>
      </c>
    </row>
    <row r="16">
      <c r="A16" s="5" t="inlineStr">
        <is>
          <t>STR insurance</t>
        </is>
      </c>
      <c r="C16" s="22">
        <f>Assumptions!C63</f>
        <v/>
      </c>
    </row>
    <row r="17">
      <c r="A17" s="5" t="inlineStr">
        <is>
          <t>Maintenance / wear</t>
        </is>
      </c>
      <c r="C17" s="22">
        <f>Assumptions!C64</f>
        <v/>
      </c>
    </row>
    <row r="18">
      <c r="A18" s="5" t="inlineStr">
        <is>
          <t>Building tax uplift</t>
        </is>
      </c>
      <c r="C18" s="22">
        <f>Assumptions!C65</f>
        <v/>
      </c>
    </row>
    <row r="19">
      <c r="A19" s="5" t="inlineStr">
        <is>
          <t>Common charge (közös)</t>
        </is>
      </c>
      <c r="C19" s="22">
        <f>Assumptions!C23</f>
        <v/>
      </c>
    </row>
    <row r="20">
      <c r="A20" s="18" t="inlineStr">
        <is>
          <t>Subtotal fixed</t>
        </is>
      </c>
      <c r="C20" s="19">
        <f>SUM(C14:C19)</f>
        <v/>
      </c>
    </row>
    <row r="21">
      <c r="A21" s="18" t="inlineStr">
        <is>
          <t>Net operating income (pre-CIT)</t>
        </is>
      </c>
      <c r="C21" s="19">
        <f>C5-C11-C20</f>
        <v/>
      </c>
    </row>
    <row r="22">
      <c r="A22" s="5" t="inlineStr">
        <is>
          <t>Corporate tax (CIT 9%)</t>
        </is>
      </c>
      <c r="C22" s="10">
        <f>Assumptions!C28*MAX(C21,0)</f>
        <v/>
      </c>
    </row>
    <row r="23">
      <c r="A23" s="18" t="inlineStr">
        <is>
          <t>NET distributable to holders</t>
        </is>
      </c>
      <c r="C23" s="19">
        <f>C21-C22</f>
        <v/>
      </c>
    </row>
    <row r="24">
      <c r="A24" s="18" t="inlineStr">
        <is>
          <t>Effective NET yield (after CIT)</t>
        </is>
      </c>
      <c r="C24" s="23">
        <f>C23/Assumptions!C7</f>
        <v/>
      </c>
    </row>
    <row r="25">
      <c r="A25" s="5" t="inlineStr">
        <is>
          <t>Monthly payout / token (ILS)</t>
        </is>
      </c>
      <c r="C25" s="25">
        <f>((C23/12)/Assumptions!C10)*Assumptions!C43</f>
        <v/>
      </c>
    </row>
    <row r="27">
      <c r="A27" s="4" t="inlineStr">
        <is>
          <t>COMPARISON: STR vs LONG-TERM</t>
        </is>
      </c>
    </row>
    <row r="28">
      <c r="A28" s="5" t="inlineStr">
        <is>
          <t>Long-term net yield</t>
        </is>
      </c>
      <c r="C28" s="20">
        <f>Waterfall!C22</f>
        <v/>
      </c>
    </row>
    <row r="29">
      <c r="A29" s="18" t="inlineStr">
        <is>
          <t>STR net yield</t>
        </is>
      </c>
      <c r="C29" s="23">
        <f>C24</f>
        <v/>
      </c>
    </row>
    <row r="30">
      <c r="A30" s="18" t="inlineStr">
        <is>
          <t>Uplift (STR - LT)</t>
        </is>
      </c>
      <c r="C30" s="23">
        <f>C29-C28</f>
        <v/>
      </c>
      <c r="E30" s="8" t="inlineStr">
        <is>
          <t>pts — modest unless ADR &amp; occ are high</t>
        </is>
      </c>
    </row>
    <row r="32">
      <c r="A32" s="4" t="inlineStr">
        <is>
          <t>REALSHARE ECONOMICS UNDER STR</t>
        </is>
      </c>
    </row>
    <row r="33">
      <c r="A33" s="5" t="inlineStr">
        <is>
          <t>Mgmt-skim revenue (/yr)</t>
        </is>
      </c>
      <c r="C33" s="10">
        <f>C5*Assumptions!C18</f>
        <v/>
      </c>
      <c r="E33" s="8">
        <f> STR gross × f_m</f>
        <v/>
      </c>
    </row>
    <row r="34">
      <c r="A34" s="5" t="inlineStr">
        <is>
          <t>Secondary revenue (/yr)</t>
        </is>
      </c>
      <c r="C34" s="10">
        <f>Assumptions!C7*Assumptions!C33*Assumptions!C32</f>
        <v/>
      </c>
    </row>
    <row r="35">
      <c r="A35" s="18" t="inlineStr">
        <is>
          <t>Steady-state revenue (/yr)</t>
        </is>
      </c>
      <c r="C35" s="19">
        <f>C33+C34</f>
        <v/>
      </c>
    </row>
    <row r="36">
      <c r="A36" s="5" t="inlineStr">
        <is>
          <t>Oversight (STR, /yr)</t>
        </is>
      </c>
      <c r="C36" s="10">
        <f>Assumptions!C66</f>
        <v/>
      </c>
    </row>
    <row r="37">
      <c r="A37" s="18" t="inlineStr">
        <is>
          <t>Steady-state CM (/yr)</t>
        </is>
      </c>
      <c r="C37" s="19">
        <f>C35-C36</f>
        <v/>
      </c>
      <c r="E37" s="8" t="inlineStr">
        <is>
          <t>RealShare gains from the bigger top line</t>
        </is>
      </c>
    </row>
    <row r="38">
      <c r="A38" s="5" t="inlineStr">
        <is>
          <t>Long-term steady-state CM (/yr)</t>
        </is>
      </c>
      <c r="C38" s="22">
        <f>UnitEconomics!C24</f>
        <v/>
      </c>
    </row>
    <row r="40">
      <c r="A40" s="4" t="inlineStr">
        <is>
          <t>STR net yield by ADR × occupancy (it only beats LT at high ADR+occ)</t>
        </is>
      </c>
    </row>
    <row r="41">
      <c r="A41" s="3" t="inlineStr">
        <is>
          <t>ADR \ Occ</t>
        </is>
      </c>
      <c r="B41" s="13" t="n">
        <v>0.55</v>
      </c>
      <c r="C41" s="13" t="n">
        <v>0.65</v>
      </c>
      <c r="D41" s="13" t="n">
        <v>0.75</v>
      </c>
    </row>
    <row r="42">
      <c r="A42" s="15" t="n">
        <v>70</v>
      </c>
      <c r="B42" s="14">
        <f>((($A42*365*B$41)*(1-(Assumptions!C56+Assumptions!C57+Assumptions!C58+Assumptions!C18)))-(Assumptions!C61+Assumptions!C62+Assumptions!C63+Assumptions!C64+Assumptions!C65+Assumptions!C23))*(1-Assumptions!C28)/Assumptions!C7</f>
        <v/>
      </c>
      <c r="C42" s="14">
        <f>((($A42*365*C$41)*(1-(Assumptions!C56+Assumptions!C57+Assumptions!C58+Assumptions!C18)))-(Assumptions!C61+Assumptions!C62+Assumptions!C63+Assumptions!C64+Assumptions!C65+Assumptions!C23))*(1-Assumptions!C28)/Assumptions!C7</f>
        <v/>
      </c>
      <c r="D42" s="14">
        <f>((($A42*365*D$41)*(1-(Assumptions!C56+Assumptions!C57+Assumptions!C58+Assumptions!C18)))-(Assumptions!C61+Assumptions!C62+Assumptions!C63+Assumptions!C64+Assumptions!C65+Assumptions!C23))*(1-Assumptions!C28)/Assumptions!C7</f>
        <v/>
      </c>
    </row>
    <row r="43">
      <c r="A43" s="15" t="n">
        <v>90</v>
      </c>
      <c r="B43" s="14">
        <f>((($A43*365*B$41)*(1-(Assumptions!C56+Assumptions!C57+Assumptions!C58+Assumptions!C18)))-(Assumptions!C61+Assumptions!C62+Assumptions!C63+Assumptions!C64+Assumptions!C65+Assumptions!C23))*(1-Assumptions!C28)/Assumptions!C7</f>
        <v/>
      </c>
      <c r="C43" s="14">
        <f>((($A43*365*C$41)*(1-(Assumptions!C56+Assumptions!C57+Assumptions!C58+Assumptions!C18)))-(Assumptions!C61+Assumptions!C62+Assumptions!C63+Assumptions!C64+Assumptions!C65+Assumptions!C23))*(1-Assumptions!C28)/Assumptions!C7</f>
        <v/>
      </c>
      <c r="D43" s="14">
        <f>((($A43*365*D$41)*(1-(Assumptions!C56+Assumptions!C57+Assumptions!C58+Assumptions!C18)))-(Assumptions!C61+Assumptions!C62+Assumptions!C63+Assumptions!C64+Assumptions!C65+Assumptions!C23))*(1-Assumptions!C28)/Assumptions!C7</f>
        <v/>
      </c>
    </row>
    <row r="44">
      <c r="A44" s="15" t="n">
        <v>110</v>
      </c>
      <c r="B44" s="14">
        <f>((($A44*365*B$41)*(1-(Assumptions!C56+Assumptions!C57+Assumptions!C58+Assumptions!C18)))-(Assumptions!C61+Assumptions!C62+Assumptions!C63+Assumptions!C64+Assumptions!C65+Assumptions!C23))*(1-Assumptions!C28)/Assumptions!C7</f>
        <v/>
      </c>
      <c r="C44" s="14">
        <f>((($A44*365*C$41)*(1-(Assumptions!C56+Assumptions!C57+Assumptions!C58+Assumptions!C18)))-(Assumptions!C61+Assumptions!C62+Assumptions!C63+Assumptions!C64+Assumptions!C65+Assumptions!C23))*(1-Assumptions!C28)/Assumptions!C7</f>
        <v/>
      </c>
      <c r="D44" s="14">
        <f>((($A44*365*D$41)*(1-(Assumptions!C56+Assumptions!C57+Assumptions!C58+Assumptions!C18)))-(Assumptions!C61+Assumptions!C62+Assumptions!C63+Assumptions!C64+Assumptions!C65+Assumptions!C23))*(1-Assumptions!C28)/Assumptions!C7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2026-06-01T13:28:04Z</dcterms:created>
  <dcterms:modified xmlns:dcterms="http://purl.org/dc/terms/" xmlns:xsi="http://www.w3.org/2001/XMLSchema-instance" xsi:type="dcterms:W3CDTF">2026-06-01T13:48:57Z</dcterms:modified>
</cp:coreProperties>
</file>